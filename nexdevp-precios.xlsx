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 3 regiones" sheetId="1" state="visible" r:id="rId1"/>
    <sheet name="Calculadora" sheetId="2" state="visible" r:id="rId2"/>
    <sheet name="Mercado y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E0E10"/>
      <sz val="18"/>
    </font>
    <font>
      <name val="Calibri"/>
      <i val="1"/>
      <color rgb="00555555"/>
      <sz val="10"/>
    </font>
    <font>
      <b val="1"/>
      <color rgb="0022B561"/>
      <sz val="13"/>
    </font>
    <font>
      <name val="Calibri"/>
      <b val="1"/>
      <color rgb="00FFFFFF"/>
      <sz val="11"/>
    </font>
    <font>
      <b val="1"/>
      <sz val="10"/>
    </font>
    <font>
      <i val="1"/>
      <color rgb="00A05A00"/>
      <sz val="9"/>
    </font>
    <font>
      <b val="1"/>
      <color rgb="008A8A8E"/>
      <sz val="9"/>
    </font>
    <font>
      <sz val="9"/>
    </font>
    <font>
      <b val="1"/>
      <sz val="11"/>
    </font>
    <font>
      <b val="1"/>
      <color rgb="000A7D3F"/>
      <sz val="13"/>
    </font>
    <font>
      <b val="1"/>
      <sz val="13"/>
    </font>
    <font>
      <b val="1"/>
      <color rgb="000A7D3F"/>
      <sz val="11"/>
    </font>
    <font>
      <i val="1"/>
      <color rgb="008A8A8E"/>
      <sz val="9"/>
    </font>
    <font>
      <b val="1"/>
      <color rgb="0022B561"/>
      <sz val="12"/>
    </font>
    <font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0E0E10"/>
      </patternFill>
    </fill>
    <fill>
      <patternFill patternType="solid">
        <fgColor rgb="0022B561"/>
      </patternFill>
    </fill>
    <fill>
      <patternFill patternType="solid">
        <fgColor rgb="00F4F4F5"/>
      </patternFill>
    </fill>
    <fill>
      <patternFill patternType="solid">
        <fgColor rgb="00FFF7CC"/>
      </patternFill>
    </fill>
    <fill>
      <patternFill patternType="solid">
        <fgColor rgb="00DFF5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>
      <c r="A1" s="1" t="inlineStr">
        <is>
          <t>nexdevp — Estructura de precios</t>
        </is>
      </c>
    </row>
    <row r="2">
      <c r="A2" s="2" t="inlineStr">
        <is>
          <t>Software a medida (proyectos) + Ingeniería de ventas con IA (recurrente). España en EUR · EEUU y LATAM en USD.</t>
        </is>
      </c>
    </row>
    <row r="4">
      <c r="A4" s="3" t="inlineStr">
        <is>
          <t>PILAR 1 — Software a medida (precio por proyecto)</t>
        </is>
      </c>
    </row>
    <row r="5">
      <c r="A5" s="4" t="inlineStr">
        <is>
          <t>Paquete</t>
        </is>
      </c>
      <c r="B5" s="5" t="inlineStr">
        <is>
          <t>España (EUR)</t>
        </is>
      </c>
      <c r="C5" s="5" t="inlineStr">
        <is>
          <t>EEUU (USD)</t>
        </is>
      </c>
      <c r="D5" s="5" t="inlineStr">
        <is>
          <t>LATAM (USD)</t>
        </is>
      </c>
      <c r="E5" s="5" t="inlineStr">
        <is>
          <t>Plazo</t>
        </is>
      </c>
    </row>
    <row r="6">
      <c r="A6" s="6" t="inlineStr">
        <is>
          <t>Diagnóstico (se descuenta del proyecto)</t>
        </is>
      </c>
      <c r="B6" s="7" t="inlineStr">
        <is>
          <t>900 – 1.500</t>
        </is>
      </c>
      <c r="C6" s="8" t="inlineStr">
        <is>
          <t>1.500 – 2.500</t>
        </is>
      </c>
      <c r="D6" s="7" t="inlineStr">
        <is>
          <t>500 – 900</t>
        </is>
      </c>
      <c r="E6" s="8" t="inlineStr">
        <is>
          <t>1 sem</t>
        </is>
      </c>
    </row>
    <row r="7">
      <c r="A7" s="6" t="inlineStr">
        <is>
          <t>MVP / Starter</t>
        </is>
      </c>
      <c r="B7" s="7" t="inlineStr">
        <is>
          <t>6.000 – 9.000</t>
        </is>
      </c>
      <c r="C7" s="8" t="inlineStr">
        <is>
          <t>12.000 – 20.000</t>
        </is>
      </c>
      <c r="D7" s="7" t="inlineStr">
        <is>
          <t>3.500 – 6.000</t>
        </is>
      </c>
      <c r="E7" s="8" t="inlineStr">
        <is>
          <t>4–6 sem</t>
        </is>
      </c>
    </row>
    <row r="8">
      <c r="A8" s="6" t="inlineStr">
        <is>
          <t>Sistema a medida (tipo CocinerHosp)</t>
        </is>
      </c>
      <c r="B8" s="7" t="inlineStr">
        <is>
          <t>12.000 – 20.000</t>
        </is>
      </c>
      <c r="C8" s="8" t="inlineStr">
        <is>
          <t>25.000 – 45.000</t>
        </is>
      </c>
      <c r="D8" s="7" t="inlineStr">
        <is>
          <t>8.000 – 15.000</t>
        </is>
      </c>
      <c r="E8" s="8" t="inlineStr">
        <is>
          <t>8–12 sem</t>
        </is>
      </c>
    </row>
    <row r="9">
      <c r="A9" s="6" t="inlineStr">
        <is>
          <t>Enterprise / multi-módulo</t>
        </is>
      </c>
      <c r="B9" s="7" t="inlineStr">
        <is>
          <t>20.000+</t>
        </is>
      </c>
      <c r="C9" s="8" t="inlineStr">
        <is>
          <t>50.000+</t>
        </is>
      </c>
      <c r="D9" s="7" t="inlineStr">
        <is>
          <t>15.000+</t>
        </is>
      </c>
      <c r="E9" s="8" t="inlineStr">
        <is>
          <t>A medida</t>
        </is>
      </c>
    </row>
    <row r="11">
      <c r="A11" s="3" t="inlineStr">
        <is>
          <t>PILAR 2 — Ingeniería de ventas con IA (setup + recurrente)</t>
        </is>
      </c>
    </row>
    <row r="12">
      <c r="A12" s="4" t="inlineStr">
        <is>
          <t>Concepto</t>
        </is>
      </c>
      <c r="B12" s="5" t="inlineStr">
        <is>
          <t>España (EUR)</t>
        </is>
      </c>
      <c r="C12" s="5" t="inlineStr">
        <is>
          <t>EEUU (USD)</t>
        </is>
      </c>
      <c r="D12" s="5" t="inlineStr">
        <is>
          <t>LATAM (USD)</t>
        </is>
      </c>
      <c r="E12" s="5" t="inlineStr">
        <is>
          <t>Tipo</t>
        </is>
      </c>
    </row>
    <row r="13">
      <c r="A13" s="6" t="inlineStr">
        <is>
          <t>Setup inicial (una vez)</t>
        </is>
      </c>
      <c r="B13" s="7" t="inlineStr">
        <is>
          <t>1.500 – 3.500</t>
        </is>
      </c>
      <c r="C13" s="8" t="inlineStr">
        <is>
          <t>2.500 – 6.000</t>
        </is>
      </c>
      <c r="D13" s="7" t="inlineStr">
        <is>
          <t>450 – 1.500</t>
        </is>
      </c>
      <c r="E13" s="8" t="inlineStr">
        <is>
          <t>Único</t>
        </is>
      </c>
    </row>
    <row r="14">
      <c r="A14" s="6" t="inlineStr">
        <is>
          <t>Plan Esencial</t>
        </is>
      </c>
      <c r="B14" s="7" t="inlineStr">
        <is>
          <t>149 – 199</t>
        </is>
      </c>
      <c r="C14" s="8" t="inlineStr">
        <is>
          <t>99 – 199</t>
        </is>
      </c>
      <c r="D14" s="7" t="inlineStr">
        <is>
          <t>99 – 149</t>
        </is>
      </c>
      <c r="E14" s="8" t="inlineStr">
        <is>
          <t>Mensual</t>
        </is>
      </c>
    </row>
    <row r="15">
      <c r="A15" s="6" t="inlineStr">
        <is>
          <t>Plan Pro</t>
        </is>
      </c>
      <c r="B15" s="7" t="inlineStr">
        <is>
          <t>299 – 399</t>
        </is>
      </c>
      <c r="C15" s="8" t="inlineStr">
        <is>
          <t>299 – 800</t>
        </is>
      </c>
      <c r="D15" s="7" t="inlineStr">
        <is>
          <t>199 – 299</t>
        </is>
      </c>
      <c r="E15" s="8" t="inlineStr">
        <is>
          <t>Mensual</t>
        </is>
      </c>
    </row>
    <row r="16">
      <c r="A16" s="6" t="inlineStr">
        <is>
          <t>Plan Scale</t>
        </is>
      </c>
      <c r="B16" s="7" t="inlineStr">
        <is>
          <t>599+</t>
        </is>
      </c>
      <c r="C16" s="8" t="inlineStr">
        <is>
          <t>1.000+</t>
        </is>
      </c>
      <c r="D16" s="7" t="inlineStr">
        <is>
          <t>399+</t>
        </is>
      </c>
      <c r="E16" s="8" t="inlineStr">
        <is>
          <t>Mensual</t>
        </is>
      </c>
    </row>
    <row r="18">
      <c r="A18" s="9" t="inlineStr">
        <is>
          <t>⚠ Importante: el coste de mensajes de WhatsApp (Meta cobra por mensaje desde jul-2025) y de tokens de IA debe estar incluido en el plan o facturado aparte. Definí un volumen incluido y cobrá el excedente.</t>
        </is>
      </c>
    </row>
    <row r="20">
      <c r="A20" s="3" t="inlineStr">
        <is>
          <t>MANTENIMIENTO (Pilar 1) — regla: 15–20% del coste del proyecto al año</t>
        </is>
      </c>
    </row>
    <row r="21">
      <c r="A21" s="4" t="inlineStr">
        <is>
          <t>Plan</t>
        </is>
      </c>
      <c r="B21" s="5" t="inlineStr">
        <is>
          <t>España (EUR/mes)</t>
        </is>
      </c>
      <c r="C21" s="5" t="inlineStr">
        <is>
          <t>EEUU (USD/mes)</t>
        </is>
      </c>
      <c r="D21" s="5" t="inlineStr">
        <is>
          <t>LATAM (USD/mes)</t>
        </is>
      </c>
      <c r="E21" s="5" t="inlineStr">
        <is>
          <t>Incluye</t>
        </is>
      </c>
    </row>
    <row r="22">
      <c r="A22" s="6" t="inlineStr">
        <is>
          <t>Básico</t>
        </is>
      </c>
      <c r="B22" s="7" t="inlineStr">
        <is>
          <t>99 – 149</t>
        </is>
      </c>
      <c r="C22" s="8" t="inlineStr">
        <is>
          <t>199 – 399</t>
        </is>
      </c>
      <c r="D22" s="7" t="inlineStr">
        <is>
          <t>59 – 99</t>
        </is>
      </c>
      <c r="E22" s="8" t="inlineStr">
        <is>
          <t>Hosting, monitoreo, fixes de bugs</t>
        </is>
      </c>
    </row>
    <row r="23">
      <c r="A23" s="6" t="inlineStr">
        <is>
          <t>Estándar</t>
        </is>
      </c>
      <c r="B23" s="7" t="inlineStr">
        <is>
          <t>199 – 349</t>
        </is>
      </c>
      <c r="C23" s="8" t="inlineStr">
        <is>
          <t>499 – 899</t>
        </is>
      </c>
      <c r="D23" s="7" t="inlineStr">
        <is>
          <t>129 – 249</t>
        </is>
      </c>
      <c r="E23" s="8" t="inlineStr">
        <is>
          <t>+ bolsa de horas para cambios menores</t>
        </is>
      </c>
    </row>
    <row r="24">
      <c r="A24" s="6" t="inlineStr">
        <is>
          <t>Premium</t>
        </is>
      </c>
      <c r="B24" s="7" t="inlineStr">
        <is>
          <t>A medida</t>
        </is>
      </c>
      <c r="C24" s="8" t="inlineStr">
        <is>
          <t>A medida</t>
        </is>
      </c>
      <c r="D24" s="7" t="inlineStr">
        <is>
          <t>A medida</t>
        </is>
      </c>
      <c r="E24" s="8" t="inlineStr">
        <is>
          <t>+ SLA, horas dedicadas, prioridad</t>
        </is>
      </c>
    </row>
  </sheetData>
  <mergeCells count="1"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5" max="5"/>
    <col width="8" customWidth="1" min="6" max="6"/>
  </cols>
  <sheetData>
    <row r="1">
      <c r="A1" s="1" t="inlineStr">
        <is>
          <t>Calculadora de cotización</t>
        </is>
      </c>
    </row>
    <row r="2">
      <c r="A2" s="2" t="inlineStr">
        <is>
          <t>Editá solo las celdas amarillas. El total se calcula solo.</t>
        </is>
      </c>
    </row>
    <row r="4">
      <c r="A4" s="10" t="inlineStr">
        <is>
          <t>Región</t>
        </is>
      </c>
      <c r="B4" s="11" t="inlineStr">
        <is>
          <t>España</t>
        </is>
      </c>
    </row>
    <row r="5">
      <c r="A5" s="10" t="inlineStr">
        <is>
          <t>Horas estimadas</t>
        </is>
      </c>
      <c r="B5" s="11" t="n">
        <v>80</v>
      </c>
    </row>
    <row r="6">
      <c r="A6" s="10" t="inlineStr">
        <is>
          <t>Complejidad (1.0 / 1.3 / 1.6)</t>
        </is>
      </c>
      <c r="B6" s="11" t="n">
        <v>1.3</v>
      </c>
    </row>
    <row r="7">
      <c r="A7" s="10" t="inlineStr">
        <is>
          <t>Costes de terceros (APIs, licencias)</t>
        </is>
      </c>
      <c r="B7" s="11" t="n">
        <v>0</v>
      </c>
    </row>
    <row r="9">
      <c r="A9" s="10" t="inlineStr">
        <is>
          <t>Tarifa/hora (auto)</t>
        </is>
      </c>
      <c r="B9" s="12">
        <f>VLOOKUP(B4,E11:F13,2,FALSE)</f>
        <v/>
      </c>
    </row>
    <row r="10">
      <c r="A10" s="10" t="inlineStr">
        <is>
          <t>Subtotal trabajo</t>
        </is>
      </c>
      <c r="B10" s="12">
        <f>B5*B9*B6</f>
        <v/>
      </c>
      <c r="E10" s="13" t="inlineStr">
        <is>
          <t>Tabla de tarifas (no editar)</t>
        </is>
      </c>
    </row>
    <row r="11">
      <c r="A11" s="10" t="inlineStr">
        <is>
          <t>Colchón imprevistos (15%)</t>
        </is>
      </c>
      <c r="B11" s="12">
        <f>B10*0.15</f>
        <v/>
      </c>
      <c r="E11" s="14" t="inlineStr">
        <is>
          <t>España</t>
        </is>
      </c>
      <c r="F11" s="14" t="n">
        <v>55</v>
      </c>
    </row>
    <row r="12">
      <c r="A12" s="10" t="inlineStr">
        <is>
          <t>Costes de terceros</t>
        </is>
      </c>
      <c r="B12" s="12">
        <f>B7</f>
        <v/>
      </c>
      <c r="E12" s="14" t="inlineStr">
        <is>
          <t>EEUU</t>
        </is>
      </c>
      <c r="F12" s="14" t="n">
        <v>90</v>
      </c>
    </row>
    <row r="13">
      <c r="A13" s="15" t="inlineStr">
        <is>
          <t>TOTAL PROYECTO</t>
        </is>
      </c>
      <c r="B13" s="16">
        <f>B10+B11+B12</f>
        <v/>
      </c>
      <c r="E13" s="14" t="inlineStr">
        <is>
          <t>LATAM</t>
        </is>
      </c>
      <c r="F13" s="14" t="n">
        <v>35</v>
      </c>
    </row>
    <row r="14">
      <c r="A14" s="10" t="inlineStr">
        <is>
          <t>Mantenimiento sugerido (€/mes ≈17,5%/año)</t>
        </is>
      </c>
      <c r="B14" s="17">
        <f>B13*0.175/12</f>
        <v/>
      </c>
    </row>
    <row r="16">
      <c r="A16" s="18" t="inlineStr">
        <is>
          <t>Fórmula: Total = (Horas × Tarifa × Complejidad) + 15% colchón + terceros</t>
        </is>
      </c>
    </row>
    <row r="17">
      <c r="A17" s="18" t="inlineStr">
        <is>
          <t>Cobrá por VALOR cuando puedas: el precio-hora es tu piso, no tu techo.</t>
        </is>
      </c>
    </row>
  </sheetData>
  <dataValidations count="2">
    <dataValidation sqref="B4" showDropDown="0" showInputMessage="0" showErrorMessage="0" allowBlank="0" type="list">
      <formula1>"España,EEUU,LATAM"</formula1>
    </dataValidation>
    <dataValidation sqref="B6" showDropDown="0" showInputMessage="0" showErrorMessage="0" allowBlank="0" type="list">
      <formula1>"1,1.3,1.6"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Referencias de mercado (2025)</t>
        </is>
      </c>
    </row>
    <row r="3">
      <c r="A3" s="4" t="inlineStr">
        <is>
          <t>Concepto</t>
        </is>
      </c>
      <c r="B3" s="5" t="inlineStr">
        <is>
          <t>España (EUR)</t>
        </is>
      </c>
      <c r="C3" s="5" t="inlineStr">
        <is>
          <t>EEUU (USD)</t>
        </is>
      </c>
      <c r="D3" s="5" t="inlineStr">
        <is>
          <t>LATAM (USD)</t>
        </is>
      </c>
    </row>
    <row r="4">
      <c r="A4" s="6" t="inlineStr">
        <is>
          <t>Hora freelance senior</t>
        </is>
      </c>
      <c r="B4" s="7" t="inlineStr">
        <is>
          <t>35 – 90</t>
        </is>
      </c>
      <c r="C4" s="8" t="inlineStr">
        <is>
          <t>50 – 300</t>
        </is>
      </c>
      <c r="D4" s="7" t="inlineStr">
        <is>
          <t>20 – 55</t>
        </is>
      </c>
    </row>
    <row r="5">
      <c r="A5" s="6" t="inlineStr">
        <is>
          <t>Hora agencia</t>
        </is>
      </c>
      <c r="B5" s="7" t="inlineStr">
        <is>
          <t>80 – 120</t>
        </is>
      </c>
      <c r="C5" s="8" t="inlineStr">
        <is>
          <t>90 – 250</t>
        </is>
      </c>
      <c r="D5" s="7" t="inlineStr">
        <is>
          <t>30 – 80</t>
        </is>
      </c>
    </row>
    <row r="6">
      <c r="A6" s="6" t="inlineStr">
        <is>
          <t>Hora especialista IA/ML</t>
        </is>
      </c>
      <c r="B6" s="7" t="inlineStr">
        <is>
          <t>~135</t>
        </is>
      </c>
      <c r="C6" s="8" t="inlineStr">
        <is>
          <t>100 – 200</t>
        </is>
      </c>
      <c r="D6" s="7" t="inlineStr">
        <is>
          <t>40 – 90</t>
        </is>
      </c>
    </row>
    <row r="7">
      <c r="A7" s="6" t="inlineStr">
        <is>
          <t>MVP</t>
        </is>
      </c>
      <c r="B7" s="7" t="inlineStr">
        <is>
          <t>6.000 – 20.000</t>
        </is>
      </c>
      <c r="C7" s="8" t="inlineStr">
        <is>
          <t>15.000 – 50.000</t>
        </is>
      </c>
      <c r="D7" s="7" t="inlineStr">
        <is>
          <t>3.500 – 15.000</t>
        </is>
      </c>
    </row>
    <row r="8">
      <c r="A8" s="6" t="inlineStr">
        <is>
          <t>Chatbot IA WhatsApp — setup</t>
        </is>
      </c>
      <c r="B8" s="7" t="inlineStr">
        <is>
          <t>2.000 – 5.000</t>
        </is>
      </c>
      <c r="C8" s="8" t="inlineStr">
        <is>
          <t>2.000 – 10.000</t>
        </is>
      </c>
      <c r="D8" s="7" t="inlineStr">
        <is>
          <t>450 – 1.500</t>
        </is>
      </c>
    </row>
    <row r="9">
      <c r="A9" s="6" t="inlineStr">
        <is>
          <t>Chatbot IA WhatsApp — mensual</t>
        </is>
      </c>
      <c r="B9" s="7" t="inlineStr">
        <is>
          <t>49 – 500</t>
        </is>
      </c>
      <c r="C9" s="8" t="inlineStr">
        <is>
          <t>30 – 800</t>
        </is>
      </c>
      <c r="D9" s="7" t="inlineStr">
        <is>
          <t>110 – 275</t>
        </is>
      </c>
    </row>
    <row r="10">
      <c r="A10" s="6" t="inlineStr">
        <is>
          <t>Mantenimiento</t>
        </is>
      </c>
      <c r="B10" s="7" t="inlineStr">
        <is>
          <t>15–20%/año</t>
        </is>
      </c>
      <c r="C10" s="8" t="inlineStr">
        <is>
          <t>15–20%/año</t>
        </is>
      </c>
      <c r="D10" s="7" t="inlineStr">
        <is>
          <t>15–20%/año</t>
        </is>
      </c>
    </row>
    <row r="12">
      <c r="A12" s="19" t="inlineStr">
        <is>
          <t>Fuentes</t>
        </is>
      </c>
    </row>
    <row r="13">
      <c r="A13" s="20" t="inlineStr">
        <is>
          <t>• España — Armadillo Amarillo / CalcuTech / Hiberus / ABAMobile / Cronomia / Agencia IA Solutions</t>
        </is>
      </c>
    </row>
    <row r="14">
      <c r="A14" s="20" t="inlineStr">
        <is>
          <t>• EEUU — FullStack Labs / Arc.dev / Spdload / Fuzen / Tidio / AiSensy</t>
        </is>
      </c>
    </row>
    <row r="15">
      <c r="A15" s="20" t="inlineStr">
        <is>
          <t>• LATAM — Grupo Vansur (AR) / SODI / ToGrow / MY Tech Solutions (CO) / Simplixy (MX) / Kosmo (MX)</t>
        </is>
      </c>
    </row>
    <row r="16">
      <c r="A16" s="20" t="inlineStr">
        <is>
          <t>• Nota Meta: desde jul-2025 WhatsApp cobra por mensaje entregado (no por conversación de 24h).</t>
        </is>
      </c>
    </row>
  </sheetData>
  <mergeCells count="4"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2026-06-15T14:55:38Z</dcterms:created>
  <dcterms:modified xsi:type="dcterms:W3CDTF">2026-06-15T14:55:38Z</dcterms:modified>
</cp:coreProperties>
</file>