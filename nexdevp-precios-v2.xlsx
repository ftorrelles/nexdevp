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 3 regiones" sheetId="1" state="visible" r:id="rId1"/>
    <sheet name="Calculadora" sheetId="2" state="visible" r:id="rId2"/>
    <sheet name="Mercado y fuentes" sheetId="3" state="visible" r:id="rId3"/>
    <sheet name="Estimador de alc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E0E10"/>
      <sz val="18"/>
    </font>
    <font>
      <name val="Calibri"/>
      <i val="1"/>
      <color rgb="00555555"/>
      <sz val="10"/>
    </font>
    <font>
      <b val="1"/>
      <color rgb="0022B561"/>
      <sz val="13"/>
    </font>
    <font>
      <name val="Calibri"/>
      <b val="1"/>
      <color rgb="00FFFFFF"/>
      <sz val="11"/>
    </font>
    <font>
      <b val="1"/>
      <sz val="10"/>
    </font>
    <font>
      <i val="1"/>
      <color rgb="00A05A00"/>
      <sz val="9"/>
    </font>
    <font>
      <b val="1"/>
      <color rgb="008A8A8E"/>
      <sz val="9"/>
    </font>
    <font>
      <sz val="9"/>
    </font>
    <font>
      <b val="1"/>
      <sz val="11"/>
    </font>
    <font>
      <b val="1"/>
      <color rgb="000A7D3F"/>
      <sz val="13"/>
    </font>
    <font>
      <b val="1"/>
      <sz val="13"/>
    </font>
    <font>
      <b val="1"/>
      <color rgb="000A7D3F"/>
      <sz val="11"/>
    </font>
    <font>
      <i val="1"/>
      <color rgb="008A8A8E"/>
      <sz val="9"/>
    </font>
    <font>
      <b val="1"/>
      <color rgb="0022B561"/>
      <sz val="12"/>
    </font>
    <font>
      <color rgb="00555555"/>
      <sz val="9"/>
    </font>
    <font>
      <b val="1"/>
      <sz val="9"/>
    </font>
    <font>
      <color rgb="008A8A8E"/>
      <sz val="9"/>
    </font>
    <font>
      <b val="1"/>
      <color rgb="0022B561"/>
      <sz val="9"/>
    </font>
    <font>
      <b val="1"/>
    </font>
    <font>
      <sz val="10"/>
    </font>
    <font>
      <b val="1"/>
      <color rgb="000A7D3F"/>
    </font>
  </fonts>
  <fills count="7">
    <fill>
      <patternFill/>
    </fill>
    <fill>
      <patternFill patternType="gray125"/>
    </fill>
    <fill>
      <patternFill patternType="solid">
        <fgColor rgb="000E0E10"/>
      </patternFill>
    </fill>
    <fill>
      <patternFill patternType="solid">
        <fgColor rgb="0022B561"/>
      </patternFill>
    </fill>
    <fill>
      <patternFill patternType="solid">
        <fgColor rgb="00F4F4F5"/>
      </patternFill>
    </fill>
    <fill>
      <patternFill patternType="solid">
        <fgColor rgb="00FFF7CC"/>
      </patternFill>
    </fill>
    <fill>
      <patternFill patternType="solid">
        <fgColor rgb="00DFF5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8" fillId="5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19" fillId="0" borderId="0" pivotButton="0" quotePrefix="0" xfId="0"/>
    <xf numFmtId="0" fontId="19" fillId="0" borderId="1" applyAlignment="1" pivotButton="0" quotePrefix="0" xfId="0">
      <alignment horizontal="right" vertical="center"/>
    </xf>
    <xf numFmtId="0" fontId="20" fillId="0" borderId="0" pivotButton="0" quotePrefix="0" xfId="0"/>
    <xf numFmtId="9" fontId="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5" fillId="0" borderId="1" pivotButton="0" quotePrefix="0" xfId="0"/>
    <xf numFmtId="0" fontId="21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>
      <c r="A1" s="1" t="inlineStr">
        <is>
          <t>nexdevp — Estructura de precios</t>
        </is>
      </c>
    </row>
    <row r="2">
      <c r="A2" s="2" t="inlineStr">
        <is>
          <t>Software a medida (proyectos) + Ingeniería de ventas con IA (recurrente). España en EUR · EEUU y LATAM en USD.</t>
        </is>
      </c>
    </row>
    <row r="4">
      <c r="A4" s="3" t="inlineStr">
        <is>
          <t>PILAR 1 — Software a medida (precio por proyecto)</t>
        </is>
      </c>
    </row>
    <row r="5">
      <c r="A5" s="4" t="inlineStr">
        <is>
          <t>Paquete</t>
        </is>
      </c>
      <c r="B5" s="5" t="inlineStr">
        <is>
          <t>España (EUR)</t>
        </is>
      </c>
      <c r="C5" s="5" t="inlineStr">
        <is>
          <t>EEUU (USD)</t>
        </is>
      </c>
      <c r="D5" s="5" t="inlineStr">
        <is>
          <t>LATAM (USD)</t>
        </is>
      </c>
      <c r="E5" s="5" t="inlineStr">
        <is>
          <t>Plazo</t>
        </is>
      </c>
    </row>
    <row r="6">
      <c r="A6" s="6" t="inlineStr">
        <is>
          <t>Diagnóstico (se descuenta del proyecto)</t>
        </is>
      </c>
      <c r="B6" s="7" t="inlineStr">
        <is>
          <t>900 – 1.500</t>
        </is>
      </c>
      <c r="C6" s="8" t="inlineStr">
        <is>
          <t>1.500 – 2.500</t>
        </is>
      </c>
      <c r="D6" s="7" t="inlineStr">
        <is>
          <t>500 – 900</t>
        </is>
      </c>
      <c r="E6" s="8" t="inlineStr">
        <is>
          <t>1 sem</t>
        </is>
      </c>
    </row>
    <row r="7">
      <c r="A7" s="6" t="inlineStr">
        <is>
          <t>MVP / Starter</t>
        </is>
      </c>
      <c r="B7" s="7" t="inlineStr">
        <is>
          <t>6.000 – 9.000</t>
        </is>
      </c>
      <c r="C7" s="8" t="inlineStr">
        <is>
          <t>12.000 – 20.000</t>
        </is>
      </c>
      <c r="D7" s="7" t="inlineStr">
        <is>
          <t>3.500 – 6.000</t>
        </is>
      </c>
      <c r="E7" s="8" t="inlineStr">
        <is>
          <t>4–6 sem</t>
        </is>
      </c>
    </row>
    <row r="8">
      <c r="A8" s="6" t="inlineStr">
        <is>
          <t>Sistema a medida (tipo CocinerHosp)</t>
        </is>
      </c>
      <c r="B8" s="7" t="inlineStr">
        <is>
          <t>12.000 – 20.000</t>
        </is>
      </c>
      <c r="C8" s="8" t="inlineStr">
        <is>
          <t>25.000 – 45.000</t>
        </is>
      </c>
      <c r="D8" s="7" t="inlineStr">
        <is>
          <t>8.000 – 15.000</t>
        </is>
      </c>
      <c r="E8" s="8" t="inlineStr">
        <is>
          <t>8–12 sem</t>
        </is>
      </c>
    </row>
    <row r="9">
      <c r="A9" s="6" t="inlineStr">
        <is>
          <t>Enterprise / multi-módulo</t>
        </is>
      </c>
      <c r="B9" s="7" t="inlineStr">
        <is>
          <t>20.000+</t>
        </is>
      </c>
      <c r="C9" s="8" t="inlineStr">
        <is>
          <t>50.000+</t>
        </is>
      </c>
      <c r="D9" s="7" t="inlineStr">
        <is>
          <t>15.000+</t>
        </is>
      </c>
      <c r="E9" s="8" t="inlineStr">
        <is>
          <t>A medida</t>
        </is>
      </c>
    </row>
    <row r="11">
      <c r="A11" s="3" t="inlineStr">
        <is>
          <t>PILAR 2 — Ingeniería de ventas con IA (setup + recurrente)</t>
        </is>
      </c>
    </row>
    <row r="12">
      <c r="A12" s="4" t="inlineStr">
        <is>
          <t>Concepto</t>
        </is>
      </c>
      <c r="B12" s="5" t="inlineStr">
        <is>
          <t>España (EUR)</t>
        </is>
      </c>
      <c r="C12" s="5" t="inlineStr">
        <is>
          <t>EEUU (USD)</t>
        </is>
      </c>
      <c r="D12" s="5" t="inlineStr">
        <is>
          <t>LATAM (USD)</t>
        </is>
      </c>
      <c r="E12" s="5" t="inlineStr">
        <is>
          <t>Tipo</t>
        </is>
      </c>
    </row>
    <row r="13">
      <c r="A13" s="6" t="inlineStr">
        <is>
          <t>Setup inicial (una vez)</t>
        </is>
      </c>
      <c r="B13" s="7" t="inlineStr">
        <is>
          <t>1.500 – 3.500</t>
        </is>
      </c>
      <c r="C13" s="8" t="inlineStr">
        <is>
          <t>2.500 – 6.000</t>
        </is>
      </c>
      <c r="D13" s="7" t="inlineStr">
        <is>
          <t>450 – 1.500</t>
        </is>
      </c>
      <c r="E13" s="8" t="inlineStr">
        <is>
          <t>Único</t>
        </is>
      </c>
    </row>
    <row r="14">
      <c r="A14" s="6" t="inlineStr">
        <is>
          <t>Plan Esencial</t>
        </is>
      </c>
      <c r="B14" s="7" t="inlineStr">
        <is>
          <t>149 – 199</t>
        </is>
      </c>
      <c r="C14" s="8" t="inlineStr">
        <is>
          <t>99 – 199</t>
        </is>
      </c>
      <c r="D14" s="7" t="inlineStr">
        <is>
          <t>99 – 149</t>
        </is>
      </c>
      <c r="E14" s="8" t="inlineStr">
        <is>
          <t>Mensual</t>
        </is>
      </c>
    </row>
    <row r="15">
      <c r="A15" s="6" t="inlineStr">
        <is>
          <t>Plan Pro</t>
        </is>
      </c>
      <c r="B15" s="7" t="inlineStr">
        <is>
          <t>299 – 399</t>
        </is>
      </c>
      <c r="C15" s="8" t="inlineStr">
        <is>
          <t>299 – 800</t>
        </is>
      </c>
      <c r="D15" s="7" t="inlineStr">
        <is>
          <t>199 – 299</t>
        </is>
      </c>
      <c r="E15" s="8" t="inlineStr">
        <is>
          <t>Mensual</t>
        </is>
      </c>
    </row>
    <row r="16">
      <c r="A16" s="6" t="inlineStr">
        <is>
          <t>Plan Scale</t>
        </is>
      </c>
      <c r="B16" s="7" t="inlineStr">
        <is>
          <t>599+</t>
        </is>
      </c>
      <c r="C16" s="8" t="inlineStr">
        <is>
          <t>1.000+</t>
        </is>
      </c>
      <c r="D16" s="7" t="inlineStr">
        <is>
          <t>399+</t>
        </is>
      </c>
      <c r="E16" s="8" t="inlineStr">
        <is>
          <t>Mensual</t>
        </is>
      </c>
    </row>
    <row r="18">
      <c r="A18" s="9" t="inlineStr">
        <is>
          <t>⚠ Importante: el coste de mensajes de WhatsApp (Meta cobra por mensaje desde jul-2025) y de tokens de IA debe estar incluido en el plan o facturado aparte. Definí un volumen incluido y cobrá el excedente.</t>
        </is>
      </c>
    </row>
    <row r="20">
      <c r="A20" s="3" t="inlineStr">
        <is>
          <t>MANTENIMIENTO (Pilar 1) — regla: 15–20% del coste del proyecto al año</t>
        </is>
      </c>
    </row>
    <row r="21">
      <c r="A21" s="4" t="inlineStr">
        <is>
          <t>Plan</t>
        </is>
      </c>
      <c r="B21" s="5" t="inlineStr">
        <is>
          <t>España (EUR/mes)</t>
        </is>
      </c>
      <c r="C21" s="5" t="inlineStr">
        <is>
          <t>EEUU (USD/mes)</t>
        </is>
      </c>
      <c r="D21" s="5" t="inlineStr">
        <is>
          <t>LATAM (USD/mes)</t>
        </is>
      </c>
      <c r="E21" s="5" t="inlineStr">
        <is>
          <t>Incluye</t>
        </is>
      </c>
    </row>
    <row r="22">
      <c r="A22" s="6" t="inlineStr">
        <is>
          <t>Básico</t>
        </is>
      </c>
      <c r="B22" s="7" t="inlineStr">
        <is>
          <t>99 – 149</t>
        </is>
      </c>
      <c r="C22" s="8" t="inlineStr">
        <is>
          <t>199 – 399</t>
        </is>
      </c>
      <c r="D22" s="7" t="inlineStr">
        <is>
          <t>59 – 99</t>
        </is>
      </c>
      <c r="E22" s="8" t="inlineStr">
        <is>
          <t>Hosting, monitoreo, fixes de bugs</t>
        </is>
      </c>
    </row>
    <row r="23">
      <c r="A23" s="6" t="inlineStr">
        <is>
          <t>Estándar</t>
        </is>
      </c>
      <c r="B23" s="7" t="inlineStr">
        <is>
          <t>199 – 349</t>
        </is>
      </c>
      <c r="C23" s="8" t="inlineStr">
        <is>
          <t>499 – 899</t>
        </is>
      </c>
      <c r="D23" s="7" t="inlineStr">
        <is>
          <t>129 – 249</t>
        </is>
      </c>
      <c r="E23" s="8" t="inlineStr">
        <is>
          <t>+ bolsa de horas para cambios menores</t>
        </is>
      </c>
    </row>
    <row r="24">
      <c r="A24" s="6" t="inlineStr">
        <is>
          <t>Premium</t>
        </is>
      </c>
      <c r="B24" s="7" t="inlineStr">
        <is>
          <t>A medida</t>
        </is>
      </c>
      <c r="C24" s="8" t="inlineStr">
        <is>
          <t>A medida</t>
        </is>
      </c>
      <c r="D24" s="7" t="inlineStr">
        <is>
          <t>A medida</t>
        </is>
      </c>
      <c r="E24" s="8" t="inlineStr">
        <is>
          <t>+ SLA, horas dedicadas, prioridad</t>
        </is>
      </c>
    </row>
  </sheetData>
  <mergeCells count="1"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5" max="5"/>
    <col width="8" customWidth="1" min="6" max="6"/>
  </cols>
  <sheetData>
    <row r="1">
      <c r="A1" s="1" t="inlineStr">
        <is>
          <t>Calculadora de cotización</t>
        </is>
      </c>
    </row>
    <row r="2">
      <c r="A2" s="2" t="inlineStr">
        <is>
          <t>Editá solo las celdas amarillas. El total se calcula solo.</t>
        </is>
      </c>
    </row>
    <row r="4">
      <c r="A4" s="10" t="inlineStr">
        <is>
          <t>Región</t>
        </is>
      </c>
      <c r="B4" s="11" t="inlineStr">
        <is>
          <t>España</t>
        </is>
      </c>
    </row>
    <row r="5">
      <c r="A5" s="10" t="inlineStr">
        <is>
          <t>Horas estimadas</t>
        </is>
      </c>
      <c r="B5" s="11" t="n">
        <v>80</v>
      </c>
    </row>
    <row r="6">
      <c r="A6" s="10" t="inlineStr">
        <is>
          <t>Complejidad (1.0 / 1.3 / 1.6)</t>
        </is>
      </c>
      <c r="B6" s="11" t="n">
        <v>1.3</v>
      </c>
    </row>
    <row r="7">
      <c r="A7" s="10" t="inlineStr">
        <is>
          <t>Costes de terceros (APIs, licencias)</t>
        </is>
      </c>
      <c r="B7" s="11" t="n">
        <v>0</v>
      </c>
    </row>
    <row r="9">
      <c r="A9" s="10" t="inlineStr">
        <is>
          <t>Tarifa/hora (auto)</t>
        </is>
      </c>
      <c r="B9" s="12">
        <f>VLOOKUP(B4,E11:F13,2,FALSE)</f>
        <v/>
      </c>
    </row>
    <row r="10">
      <c r="A10" s="10" t="inlineStr">
        <is>
          <t>Subtotal trabajo</t>
        </is>
      </c>
      <c r="B10" s="12">
        <f>B5*B9*B6</f>
        <v/>
      </c>
      <c r="E10" s="13" t="inlineStr">
        <is>
          <t>Tabla de tarifas (no editar)</t>
        </is>
      </c>
    </row>
    <row r="11">
      <c r="A11" s="10" t="inlineStr">
        <is>
          <t>Colchón imprevistos (15%)</t>
        </is>
      </c>
      <c r="B11" s="12">
        <f>B10*0.15</f>
        <v/>
      </c>
      <c r="E11" s="14" t="inlineStr">
        <is>
          <t>España</t>
        </is>
      </c>
      <c r="F11" s="14" t="n">
        <v>55</v>
      </c>
    </row>
    <row r="12">
      <c r="A12" s="10" t="inlineStr">
        <is>
          <t>Costes de terceros</t>
        </is>
      </c>
      <c r="B12" s="12">
        <f>B7</f>
        <v/>
      </c>
      <c r="E12" s="14" t="inlineStr">
        <is>
          <t>EEUU</t>
        </is>
      </c>
      <c r="F12" s="14" t="n">
        <v>90</v>
      </c>
    </row>
    <row r="13">
      <c r="A13" s="15" t="inlineStr">
        <is>
          <t>TOTAL PROYECTO</t>
        </is>
      </c>
      <c r="B13" s="16">
        <f>B10+B11+B12</f>
        <v/>
      </c>
      <c r="E13" s="14" t="inlineStr">
        <is>
          <t>LATAM</t>
        </is>
      </c>
      <c r="F13" s="14" t="n">
        <v>35</v>
      </c>
    </row>
    <row r="14">
      <c r="A14" s="10" t="inlineStr">
        <is>
          <t>Mantenimiento sugerido (€/mes ≈17,5%/año)</t>
        </is>
      </c>
      <c r="B14" s="17">
        <f>B13*0.175/12</f>
        <v/>
      </c>
    </row>
    <row r="16">
      <c r="A16" s="18" t="inlineStr">
        <is>
          <t>Fórmula: Total = (Horas × Tarifa × Complejidad) + 15% colchón + terceros</t>
        </is>
      </c>
    </row>
    <row r="17">
      <c r="A17" s="18" t="inlineStr">
        <is>
          <t>Cobrá por VALOR cuando puedas: el precio-hora es tu piso, no tu techo.</t>
        </is>
      </c>
    </row>
  </sheetData>
  <dataValidations count="2">
    <dataValidation sqref="B4" showDropDown="0" showInputMessage="0" showErrorMessage="0" allowBlank="0" type="list">
      <formula1>"España,EEUU,LATAM"</formula1>
    </dataValidation>
    <dataValidation sqref="B6" showDropDown="0" showInputMessage="0" showErrorMessage="0" allowBlank="0" type="list">
      <formula1>"1,1.3,1.6"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Referencias de mercado (2025)</t>
        </is>
      </c>
    </row>
    <row r="3">
      <c r="A3" s="4" t="inlineStr">
        <is>
          <t>Concepto</t>
        </is>
      </c>
      <c r="B3" s="5" t="inlineStr">
        <is>
          <t>España (EUR)</t>
        </is>
      </c>
      <c r="C3" s="5" t="inlineStr">
        <is>
          <t>EEUU (USD)</t>
        </is>
      </c>
      <c r="D3" s="5" t="inlineStr">
        <is>
          <t>LATAM (USD)</t>
        </is>
      </c>
    </row>
    <row r="4">
      <c r="A4" s="6" t="inlineStr">
        <is>
          <t>Hora freelance senior</t>
        </is>
      </c>
      <c r="B4" s="7" t="inlineStr">
        <is>
          <t>35 – 90</t>
        </is>
      </c>
      <c r="C4" s="8" t="inlineStr">
        <is>
          <t>50 – 300</t>
        </is>
      </c>
      <c r="D4" s="7" t="inlineStr">
        <is>
          <t>20 – 55</t>
        </is>
      </c>
    </row>
    <row r="5">
      <c r="A5" s="6" t="inlineStr">
        <is>
          <t>Hora agencia</t>
        </is>
      </c>
      <c r="B5" s="7" t="inlineStr">
        <is>
          <t>80 – 120</t>
        </is>
      </c>
      <c r="C5" s="8" t="inlineStr">
        <is>
          <t>90 – 250</t>
        </is>
      </c>
      <c r="D5" s="7" t="inlineStr">
        <is>
          <t>30 – 80</t>
        </is>
      </c>
    </row>
    <row r="6">
      <c r="A6" s="6" t="inlineStr">
        <is>
          <t>Hora especialista IA/ML</t>
        </is>
      </c>
      <c r="B6" s="7" t="inlineStr">
        <is>
          <t>~135</t>
        </is>
      </c>
      <c r="C6" s="8" t="inlineStr">
        <is>
          <t>100 – 200</t>
        </is>
      </c>
      <c r="D6" s="7" t="inlineStr">
        <is>
          <t>40 – 90</t>
        </is>
      </c>
    </row>
    <row r="7">
      <c r="A7" s="6" t="inlineStr">
        <is>
          <t>MVP</t>
        </is>
      </c>
      <c r="B7" s="7" t="inlineStr">
        <is>
          <t>6.000 – 20.000</t>
        </is>
      </c>
      <c r="C7" s="8" t="inlineStr">
        <is>
          <t>15.000 – 50.000</t>
        </is>
      </c>
      <c r="D7" s="7" t="inlineStr">
        <is>
          <t>3.500 – 15.000</t>
        </is>
      </c>
    </row>
    <row r="8">
      <c r="A8" s="6" t="inlineStr">
        <is>
          <t>Chatbot IA WhatsApp — setup</t>
        </is>
      </c>
      <c r="B8" s="7" t="inlineStr">
        <is>
          <t>2.000 – 5.000</t>
        </is>
      </c>
      <c r="C8" s="8" t="inlineStr">
        <is>
          <t>2.000 – 10.000</t>
        </is>
      </c>
      <c r="D8" s="7" t="inlineStr">
        <is>
          <t>450 – 1.500</t>
        </is>
      </c>
    </row>
    <row r="9">
      <c r="A9" s="6" t="inlineStr">
        <is>
          <t>Chatbot IA WhatsApp — mensual</t>
        </is>
      </c>
      <c r="B9" s="7" t="inlineStr">
        <is>
          <t>49 – 500</t>
        </is>
      </c>
      <c r="C9" s="8" t="inlineStr">
        <is>
          <t>30 – 800</t>
        </is>
      </c>
      <c r="D9" s="7" t="inlineStr">
        <is>
          <t>110 – 275</t>
        </is>
      </c>
    </row>
    <row r="10">
      <c r="A10" s="6" t="inlineStr">
        <is>
          <t>Mantenimiento</t>
        </is>
      </c>
      <c r="B10" s="7" t="inlineStr">
        <is>
          <t>15–20%/año</t>
        </is>
      </c>
      <c r="C10" s="8" t="inlineStr">
        <is>
          <t>15–20%/año</t>
        </is>
      </c>
      <c r="D10" s="7" t="inlineStr">
        <is>
          <t>15–20%/año</t>
        </is>
      </c>
    </row>
    <row r="12">
      <c r="A12" s="19" t="inlineStr">
        <is>
          <t>Fuentes</t>
        </is>
      </c>
    </row>
    <row r="13">
      <c r="A13" s="20" t="inlineStr">
        <is>
          <t>• España — Armadillo Amarillo / CalcuTech / Hiberus / ABAMobile / Cronomia / Agencia IA Solutions</t>
        </is>
      </c>
    </row>
    <row r="14">
      <c r="A14" s="20" t="inlineStr">
        <is>
          <t>• EEUU — FullStack Labs / Arc.dev / Spdload / Fuzen / Tidio / AiSensy</t>
        </is>
      </c>
    </row>
    <row r="15">
      <c r="A15" s="20" t="inlineStr">
        <is>
          <t>• LATAM — Grupo Vansur (AR) / SODI / ToGrow / MY Tech Solutions (CO) / Simplixy (MX) / Kosmo (MX)</t>
        </is>
      </c>
    </row>
    <row r="16">
      <c r="A16" s="20" t="inlineStr">
        <is>
          <t>• Nota Meta: desde jul-2025 WhatsApp cobra por mensaje entregado (no por conversación de 24h).</t>
        </is>
      </c>
    </row>
  </sheetData>
  <mergeCells count="4"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6" customWidth="1" min="5" max="5"/>
    <col width="16" customWidth="1" min="6" max="6"/>
    <col width="16" customWidth="1" min="7" max="7"/>
    <col width="14" customWidth="1" min="8" max="8"/>
    <col width="8" customWidth="1" min="9" max="9"/>
    <col width="30" customWidth="1" min="10" max="10"/>
  </cols>
  <sheetData>
    <row r="1">
      <c r="A1" s="1" t="inlineStr">
        <is>
          <t>Estimador de alcance → precio</t>
        </is>
      </c>
    </row>
    <row r="2">
      <c r="A2" s="2" t="inlineStr">
        <is>
          <t>Desglosá el proyecto en funcionalidades, asigná tamaño (S/M/L/XL) y el precio cae solo. Editá amarillo.</t>
        </is>
      </c>
    </row>
    <row r="4">
      <c r="A4" s="4" t="inlineStr">
        <is>
          <t>Funcionalidad</t>
        </is>
      </c>
      <c r="B4" s="5" t="inlineStr">
        <is>
          <t>Tamaño</t>
        </is>
      </c>
      <c r="C4" s="5" t="inlineStr">
        <is>
          <t>Horas</t>
        </is>
      </c>
      <c r="H4" s="13" t="inlineStr">
        <is>
          <t>Tamaño → horas (editable)</t>
        </is>
      </c>
    </row>
    <row r="5">
      <c r="A5" s="21" t="inlineStr">
        <is>
          <t>Login / registro / roles</t>
        </is>
      </c>
      <c r="B5" s="22" t="inlineStr">
        <is>
          <t>M</t>
        </is>
      </c>
      <c r="C5" s="12">
        <f>IFERROR(VLOOKUP(B5,$H$5:$I$8,2,FALSE),0)</f>
        <v/>
      </c>
      <c r="H5" s="23" t="inlineStr">
        <is>
          <t>S</t>
        </is>
      </c>
      <c r="I5" s="24" t="n">
        <v>8</v>
      </c>
      <c r="J5" s="25" t="inlineStr">
        <is>
          <t>Una pantalla / CRUD simple</t>
        </is>
      </c>
    </row>
    <row r="6">
      <c r="A6" s="21" t="inlineStr">
        <is>
          <t>Setup + deploy</t>
        </is>
      </c>
      <c r="B6" s="22" t="inlineStr">
        <is>
          <t>M</t>
        </is>
      </c>
      <c r="C6" s="12">
        <f>IFERROR(VLOOKUP(B6,$H$5:$I$8,2,FALSE),0)</f>
        <v/>
      </c>
      <c r="H6" s="23" t="inlineStr">
        <is>
          <t>M</t>
        </is>
      </c>
      <c r="I6" s="24" t="n">
        <v>20</v>
      </c>
      <c r="J6" s="25" t="inlineStr">
        <is>
          <t>Módulo con lógica</t>
        </is>
      </c>
    </row>
    <row r="7">
      <c r="A7" s="21" t="inlineStr">
        <is>
          <t>Panel principal (dashboard)</t>
        </is>
      </c>
      <c r="B7" s="22" t="inlineStr">
        <is>
          <t>M</t>
        </is>
      </c>
      <c r="C7" s="12">
        <f>IFERROR(VLOOKUP(B7,$H$5:$I$8,2,FALSE),0)</f>
        <v/>
      </c>
      <c r="H7" s="23" t="inlineStr">
        <is>
          <t>L</t>
        </is>
      </c>
      <c r="I7" s="24" t="n">
        <v>40</v>
      </c>
      <c r="J7" s="25" t="inlineStr">
        <is>
          <t>Módulo complejo / integración</t>
        </is>
      </c>
    </row>
    <row r="8">
      <c r="A8" s="21" t="inlineStr">
        <is>
          <t>CRUD entidad principal</t>
        </is>
      </c>
      <c r="B8" s="22" t="inlineStr">
        <is>
          <t>M</t>
        </is>
      </c>
      <c r="C8" s="12">
        <f>IFERROR(VLOOKUP(B8,$H$5:$I$8,2,FALSE),0)</f>
        <v/>
      </c>
      <c r="H8" s="23" t="inlineStr">
        <is>
          <t>XL</t>
        </is>
      </c>
      <c r="I8" s="24" t="n">
        <v>80</v>
      </c>
      <c r="J8" s="25" t="inlineStr">
        <is>
          <t>Subsistema completo</t>
        </is>
      </c>
    </row>
    <row r="9">
      <c r="A9" s="21" t="inlineStr">
        <is>
          <t>Integración WhatsApp + IA</t>
        </is>
      </c>
      <c r="B9" s="22" t="inlineStr">
        <is>
          <t>M</t>
        </is>
      </c>
      <c r="C9" s="12">
        <f>IFERROR(VLOOKUP(B9,$H$5:$I$8,2,FALSE),0)</f>
        <v/>
      </c>
    </row>
    <row r="10">
      <c r="A10" s="21" t="n"/>
      <c r="B10" s="22" t="n"/>
      <c r="C10" s="12">
        <f>IFERROR(VLOOKUP(B10,$H$5:$I$8,2,FALSE),0)</f>
        <v/>
      </c>
      <c r="H10" s="26" t="inlineStr">
        <is>
          <t>Referencia rápida:</t>
        </is>
      </c>
    </row>
    <row r="11">
      <c r="A11" s="21" t="n"/>
      <c r="B11" s="22" t="n"/>
      <c r="C11" s="12">
        <f>IFERROR(VLOOKUP(B11,$H$5:$I$8,2,FALSE),0)</f>
        <v/>
      </c>
      <c r="H11" s="27" t="inlineStr">
        <is>
          <t>• Login/roles → M</t>
        </is>
      </c>
    </row>
    <row r="12">
      <c r="A12" s="21" t="n"/>
      <c r="B12" s="22" t="n"/>
      <c r="C12" s="12">
        <f>IFERROR(VLOOKUP(B12,$H$5:$I$8,2,FALSE),0)</f>
        <v/>
      </c>
      <c r="H12" s="27" t="inlineStr">
        <is>
          <t>• CRUD entidad → S</t>
        </is>
      </c>
    </row>
    <row r="13">
      <c r="A13" s="21" t="n"/>
      <c r="B13" s="22" t="n"/>
      <c r="C13" s="12">
        <f>IFERROR(VLOOKUP(B13,$H$5:$I$8,2,FALSE),0)</f>
        <v/>
      </c>
      <c r="H13" s="27" t="inlineStr">
        <is>
          <t>• Dashboard/reportes → L</t>
        </is>
      </c>
    </row>
    <row r="14">
      <c r="A14" s="21" t="n"/>
      <c r="B14" s="22" t="n"/>
      <c r="C14" s="12">
        <f>IFERROR(VLOOKUP(B14,$H$5:$I$8,2,FALSE),0)</f>
        <v/>
      </c>
      <c r="H14" s="27" t="inlineStr">
        <is>
          <t>• Integración API/pago → L</t>
        </is>
      </c>
    </row>
    <row r="15">
      <c r="A15" s="21" t="n"/>
      <c r="B15" s="22" t="n"/>
      <c r="C15" s="12">
        <f>IFERROR(VLOOKUP(B15,$H$5:$I$8,2,FALSE),0)</f>
        <v/>
      </c>
      <c r="H15" s="27" t="inlineStr">
        <is>
          <t>• Agente IA WhatsApp → XL</t>
        </is>
      </c>
    </row>
    <row r="16">
      <c r="A16" s="21" t="n"/>
      <c r="B16" s="22" t="n"/>
      <c r="C16" s="12">
        <f>IFERROR(VLOOKUP(B16,$H$5:$I$8,2,FALSE),0)</f>
        <v/>
      </c>
      <c r="H16" s="27" t="inlineStr">
        <is>
          <t>• PWA/offline → L</t>
        </is>
      </c>
    </row>
    <row r="17">
      <c r="A17" s="21" t="n"/>
      <c r="B17" s="22" t="n"/>
      <c r="C17" s="12">
        <f>IFERROR(VLOOKUP(B17,$H$5:$I$8,2,FALSE),0)</f>
        <v/>
      </c>
      <c r="H17" s="27" t="inlineStr">
        <is>
          <t>• Panel admin → XL</t>
        </is>
      </c>
    </row>
    <row r="18">
      <c r="A18" s="21" t="n"/>
      <c r="B18" s="22" t="n"/>
      <c r="C18" s="12">
        <f>IFERROR(VLOOKUP(B18,$H$5:$I$8,2,FALSE),0)</f>
        <v/>
      </c>
      <c r="H18" s="27" t="inlineStr">
        <is>
          <t>• i18n / emails → S</t>
        </is>
      </c>
    </row>
    <row r="19">
      <c r="A19" s="21" t="n"/>
      <c r="B19" s="22" t="n"/>
      <c r="C19" s="12">
        <f>IFERROR(VLOOKUP(B19,$H$5:$I$8,2,FALSE),0)</f>
        <v/>
      </c>
    </row>
    <row r="20">
      <c r="A20" s="28" t="inlineStr">
        <is>
          <t>Subtotal funcionalidades</t>
        </is>
      </c>
      <c r="C20" s="29">
        <f>SUM(C5:C19)</f>
        <v/>
      </c>
    </row>
    <row r="22">
      <c r="A22" s="30" t="inlineStr">
        <is>
          <t>Gestión de proyecto (%)</t>
        </is>
      </c>
      <c r="B22" s="31" t="n">
        <v>0.12</v>
      </c>
      <c r="C22" s="12">
        <f>$C$20*B22</f>
        <v/>
      </c>
    </row>
    <row r="23">
      <c r="A23" s="30" t="inlineStr">
        <is>
          <t>Testing / QA (%)</t>
        </is>
      </c>
      <c r="B23" s="31" t="n">
        <v>0.15</v>
      </c>
      <c r="C23" s="12">
        <f>$C$20*B23</f>
        <v/>
      </c>
    </row>
    <row r="24">
      <c r="A24" s="30" t="inlineStr">
        <is>
          <t>Contingencia (%)</t>
        </is>
      </c>
      <c r="B24" s="31" t="n">
        <v>0.1</v>
      </c>
      <c r="C24" s="12">
        <f>$C$20*B24</f>
        <v/>
      </c>
    </row>
    <row r="26">
      <c r="A26" s="32" t="inlineStr">
        <is>
          <t>TOTAL HORAS</t>
        </is>
      </c>
      <c r="C26" s="16">
        <f>C20+C22+C23+C24</f>
        <v/>
      </c>
    </row>
    <row r="28">
      <c r="A28" s="3" t="inlineStr">
        <is>
          <t>PRECIO POR REGIÓN</t>
        </is>
      </c>
    </row>
    <row r="29">
      <c r="A29" s="4" t="inlineStr">
        <is>
          <t>Región</t>
        </is>
      </c>
      <c r="B29" s="5" t="inlineStr">
        <is>
          <t>Tarifa/hora</t>
        </is>
      </c>
      <c r="C29" s="5" t="inlineStr">
        <is>
          <t>Precio proyecto</t>
        </is>
      </c>
      <c r="D29" s="5" t="inlineStr">
        <is>
          <t>Mantenim./mes</t>
        </is>
      </c>
    </row>
    <row r="30">
      <c r="A30" s="33" t="inlineStr">
        <is>
          <t>España (EUR)</t>
        </is>
      </c>
      <c r="B30" s="11" t="n">
        <v>55</v>
      </c>
      <c r="C30" s="34">
        <f>$C$26*B30</f>
        <v/>
      </c>
      <c r="D30" s="35">
        <f>C30*0.175/12</f>
        <v/>
      </c>
    </row>
    <row r="31">
      <c r="A31" s="33" t="inlineStr">
        <is>
          <t>EEUU (USD)</t>
        </is>
      </c>
      <c r="B31" s="11" t="n">
        <v>90</v>
      </c>
      <c r="C31" s="34">
        <f>$C$26*B31</f>
        <v/>
      </c>
      <c r="D31" s="35">
        <f>C31*0.175/12</f>
        <v/>
      </c>
    </row>
    <row r="32">
      <c r="A32" s="33" t="inlineStr">
        <is>
          <t>LATAM (USD)</t>
        </is>
      </c>
      <c r="B32" s="11" t="n">
        <v>35</v>
      </c>
      <c r="C32" s="34">
        <f>$C$26*B32</f>
        <v/>
      </c>
      <c r="D32" s="35">
        <f>C32*0.175/12</f>
        <v/>
      </c>
    </row>
    <row r="34">
      <c r="A34" s="18" t="inlineStr">
        <is>
          <t>La tarifa/hora es editable: bajala para clientes de entrada, subila cuando tengas portfolio.</t>
        </is>
      </c>
    </row>
    <row r="35">
      <c r="A35" s="18" t="inlineStr">
        <is>
          <t>El precio sale del trabajo real → es defendible ante el cliente. Cobrá por VALOR cuando el impacto lo justifique.</t>
        </is>
      </c>
    </row>
  </sheetData>
  <dataValidations count="1">
    <dataValidation sqref="B5 B6 B7 B8 B9 B10 B11 B12 B13 B14 B15 B16 B17 B18 B19" showDropDown="0" showInputMessage="0" showErrorMessage="0" allowBlank="1" type="list">
      <formula1>"S,M,L,XL"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2026-06-15T15:04:20Z</dcterms:created>
  <dcterms:modified xsi:type="dcterms:W3CDTF">2026-06-15T15:04:20Z</dcterms:modified>
</cp:coreProperties>
</file>